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vek\OneDrive\Desktop\"/>
    </mc:Choice>
  </mc:AlternateContent>
  <xr:revisionPtr revIDLastSave="0" documentId="13_ncr:1_{94CCAFD8-8E01-4671-80CD-581F542A0F68}" xr6:coauthVersionLast="47" xr6:coauthVersionMax="47" xr10:uidLastSave="{00000000-0000-0000-0000-000000000000}"/>
  <bookViews>
    <workbookView minimized="1" xWindow="6456" yWindow="4056" windowWidth="17280" windowHeight="8880" activeTab="2" xr2:uid="{6D96680D-BBAC-4DE9-B7A0-261E6C86CDE6}"/>
  </bookViews>
  <sheets>
    <sheet name="Invoice Template" sheetId="1" r:id="rId1"/>
    <sheet name="CustomersC" sheetId="2" r:id="rId2"/>
    <sheet name="Record of Invoices" sheetId="3" r:id="rId3"/>
  </sheets>
  <definedNames>
    <definedName name="Cust_down">Cust_List[Customer Name]</definedName>
    <definedName name="_xlnm.Print_Area" localSheetId="0">'Invoice Template'!$A$1:$J$47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B15" i="1"/>
  <c r="B14" i="1"/>
  <c r="B13" i="1"/>
  <c r="B12" i="1"/>
  <c r="B11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19" i="1"/>
  <c r="H35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9" i="1"/>
  <c r="I39" i="1" l="1"/>
  <c r="I40" i="1"/>
  <c r="I41" i="1" l="1"/>
</calcChain>
</file>

<file path=xl/sharedStrings.xml><?xml version="1.0" encoding="utf-8"?>
<sst xmlns="http://schemas.openxmlformats.org/spreadsheetml/2006/main" count="88" uniqueCount="77">
  <si>
    <t>Your Company Name</t>
  </si>
  <si>
    <t>Invoice</t>
  </si>
  <si>
    <t>Invoice No.</t>
  </si>
  <si>
    <t>Po No.</t>
  </si>
  <si>
    <t>Date</t>
  </si>
  <si>
    <t>Terms(Days)</t>
  </si>
  <si>
    <t>Invoice to:</t>
  </si>
  <si>
    <t>Description</t>
  </si>
  <si>
    <t>Price</t>
  </si>
  <si>
    <t>Total</t>
  </si>
  <si>
    <t>VAT</t>
  </si>
  <si>
    <t>Qty</t>
  </si>
  <si>
    <t>Total(exc VAT)</t>
  </si>
  <si>
    <t>Customer Message</t>
  </si>
  <si>
    <t>Subtotal</t>
  </si>
  <si>
    <t>Company Details</t>
  </si>
  <si>
    <t>Payment Details</t>
  </si>
  <si>
    <t>Company No.</t>
  </si>
  <si>
    <t>VAT No.</t>
  </si>
  <si>
    <t>Tel No.</t>
  </si>
  <si>
    <t>Email</t>
  </si>
  <si>
    <t>Acc No.</t>
  </si>
  <si>
    <t>Bank</t>
  </si>
  <si>
    <t>Sort code</t>
  </si>
  <si>
    <t>IBAN</t>
  </si>
  <si>
    <t>Your logo here</t>
  </si>
  <si>
    <t>Customer Name</t>
  </si>
  <si>
    <t>Address 1</t>
  </si>
  <si>
    <t>Address 2</t>
  </si>
  <si>
    <t>Address 3</t>
  </si>
  <si>
    <t>Address 4</t>
  </si>
  <si>
    <t>Address 5</t>
  </si>
  <si>
    <t>Vivek Paturi</t>
  </si>
  <si>
    <t>Rajahmundry</t>
  </si>
  <si>
    <t>vivekpaturi3@gmail.com</t>
  </si>
  <si>
    <t>Vaishnavi Potturi</t>
  </si>
  <si>
    <t>Tanuku</t>
  </si>
  <si>
    <t>vaishnavipotturi30@gmail.com</t>
  </si>
  <si>
    <t>Company</t>
  </si>
  <si>
    <t>Amt</t>
  </si>
  <si>
    <t>Date Issue</t>
  </si>
  <si>
    <t>Date Due</t>
  </si>
  <si>
    <t>Paid</t>
  </si>
  <si>
    <t>Invoice saved as Pdf</t>
  </si>
  <si>
    <t>Invoice Saved as Excel</t>
  </si>
  <si>
    <t>Invoice Emailed</t>
  </si>
  <si>
    <t>School area</t>
  </si>
  <si>
    <t>Near Kovvur</t>
  </si>
  <si>
    <t>44/5</t>
  </si>
  <si>
    <t>33/6</t>
  </si>
  <si>
    <t>road</t>
  </si>
  <si>
    <t>near attili</t>
  </si>
  <si>
    <t>C:\Users\vivek\OneDrive\Desktop\Pp\1-Vivek Paturi.xlsx</t>
  </si>
  <si>
    <t>Book</t>
  </si>
  <si>
    <t>C:\Users\vivek\OneDrive\Desktop\Pp\2-Vaishnavi Potturi.xlsx</t>
  </si>
  <si>
    <t>C:\Users\vivek\OneDrive\Desktop\Pp\2 - Vaishnavi Potturi.pdf</t>
  </si>
  <si>
    <t>Black Shirt</t>
  </si>
  <si>
    <t>Blue Jean</t>
  </si>
  <si>
    <t>Kitkat Chocalate</t>
  </si>
  <si>
    <t>Biscuits</t>
  </si>
  <si>
    <t>Shampoo</t>
  </si>
  <si>
    <t>Face Wash</t>
  </si>
  <si>
    <t>Balloons</t>
  </si>
  <si>
    <t>Charger</t>
  </si>
  <si>
    <t>Earphones</t>
  </si>
  <si>
    <t>Cap</t>
  </si>
  <si>
    <t>Pens</t>
  </si>
  <si>
    <t>Pencils</t>
  </si>
  <si>
    <t>Trimmer</t>
  </si>
  <si>
    <t>Gel</t>
  </si>
  <si>
    <t>Glows</t>
  </si>
  <si>
    <t>Cookies</t>
  </si>
  <si>
    <t>Amazon</t>
  </si>
  <si>
    <t>939XXXXXXX</t>
  </si>
  <si>
    <t>amazon@gmail.com</t>
  </si>
  <si>
    <t>Canara</t>
  </si>
  <si>
    <t>1289B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</si>
</sst>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₹&quot;#,##0.00_);\(&quot;₹&quot;#,##0.00\)"/>
    <numFmt numFmtId="165" formatCode="&quot;₹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 tint="0.14999847407452621"/>
      <name val="Arial Black"/>
      <family val="2"/>
    </font>
    <font>
      <sz val="11"/>
      <color theme="1"/>
      <name val="Arial"/>
      <family val="2"/>
    </font>
    <font>
      <sz val="28"/>
      <color theme="1" tint="0.14999847407452621"/>
      <name val="Arial Black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mediumGray">
        <bgColor theme="1" tint="0.499984740745262"/>
      </patternFill>
    </fill>
  </fills>
  <borders count="43">
    <border>
      <left/>
      <right/>
      <top/>
      <bottom/>
      <diagonal/>
    </border>
    <border>
      <left/>
      <right/>
      <top/>
      <bottom style="medium">
        <color theme="1" tint="0.149967955565050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/>
    <xf numFmtId="0" fontId="4" fillId="0" borderId="0" xfId="0" applyFont="1"/>
    <xf numFmtId="0" fontId="0" fillId="0" borderId="6" xfId="0" applyBorder="1"/>
    <xf numFmtId="0" fontId="6" fillId="2" borderId="2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4" fillId="3" borderId="11" xfId="0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6" fillId="2" borderId="20" xfId="0" applyFont="1" applyFill="1" applyBorder="1"/>
    <xf numFmtId="0" fontId="6" fillId="2" borderId="21" xfId="0" applyFont="1" applyFill="1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4" borderId="0" xfId="0" applyFill="1"/>
    <xf numFmtId="0" fontId="7" fillId="0" borderId="33" xfId="0" applyFont="1" applyBorder="1"/>
    <xf numFmtId="0" fontId="8" fillId="0" borderId="0" xfId="1"/>
    <xf numFmtId="0" fontId="4" fillId="0" borderId="6" xfId="0" applyFont="1" applyBorder="1"/>
    <xf numFmtId="0" fontId="4" fillId="0" borderId="25" xfId="0" applyFont="1" applyBorder="1"/>
    <xf numFmtId="165" fontId="4" fillId="0" borderId="6" xfId="0" applyNumberFormat="1" applyFont="1" applyBorder="1"/>
    <xf numFmtId="165" fontId="4" fillId="0" borderId="25" xfId="0" applyNumberFormat="1" applyFont="1" applyBorder="1"/>
    <xf numFmtId="165" fontId="4" fillId="0" borderId="23" xfId="0" applyNumberFormat="1" applyFont="1" applyBorder="1"/>
    <xf numFmtId="165" fontId="4" fillId="0" borderId="26" xfId="0" applyNumberFormat="1" applyFont="1" applyBorder="1"/>
    <xf numFmtId="165" fontId="4" fillId="0" borderId="0" xfId="0" applyNumberFormat="1" applyFont="1"/>
    <xf numFmtId="165" fontId="7" fillId="0" borderId="33" xfId="0" applyNumberFormat="1" applyFont="1" applyBorder="1"/>
    <xf numFmtId="0" fontId="2" fillId="2" borderId="0" xfId="0" applyFont="1" applyFill="1"/>
    <xf numFmtId="164" fontId="0" fillId="0" borderId="0" xfId="0" applyNumberFormat="1"/>
    <xf numFmtId="14" fontId="0" fillId="0" borderId="0" xfId="0" applyNumberFormat="1"/>
    <xf numFmtId="17" fontId="0" fillId="0" borderId="0" xfId="0" applyNumberFormat="1"/>
    <xf numFmtId="0" fontId="3" fillId="0" borderId="1" xfId="0" applyFont="1" applyBorder="1"/>
    <xf numFmtId="0" fontId="5" fillId="0" borderId="1" xfId="0" applyFont="1" applyBorder="1"/>
    <xf numFmtId="0" fontId="4" fillId="0" borderId="27" xfId="0" applyFont="1" applyBorder="1"/>
    <xf numFmtId="0" fontId="4" fillId="0" borderId="28" xfId="0" applyFont="1" applyBorder="1"/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0" fontId="4" fillId="0" borderId="32" xfId="0" applyFont="1" applyBorder="1"/>
    <xf numFmtId="0" fontId="4" fillId="0" borderId="11" xfId="0" applyFont="1" applyBorder="1"/>
    <xf numFmtId="0" fontId="1" fillId="2" borderId="34" xfId="0" applyFont="1" applyFill="1" applyBorder="1"/>
    <xf numFmtId="0" fontId="1" fillId="2" borderId="35" xfId="0" applyFont="1" applyFill="1" applyBorder="1"/>
    <xf numFmtId="0" fontId="1" fillId="2" borderId="36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0" fontId="6" fillId="2" borderId="34" xfId="0" applyFont="1" applyFill="1" applyBorder="1"/>
    <xf numFmtId="0" fontId="6" fillId="2" borderId="35" xfId="0" applyFont="1" applyFill="1" applyBorder="1"/>
    <xf numFmtId="0" fontId="6" fillId="2" borderId="36" xfId="0" applyFont="1" applyFill="1" applyBorder="1"/>
    <xf numFmtId="0" fontId="0" fillId="0" borderId="0" xfId="0" applyBorder="1"/>
    <xf numFmtId="0" fontId="9" fillId="0" borderId="17" xfId="0" applyFont="1" applyBorder="1"/>
    <xf numFmtId="0" fontId="4" fillId="0" borderId="39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0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28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8" fillId="0" borderId="40" xfId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14" fontId="0" fillId="0" borderId="6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 applyAlignment="1">
      <alignment horizontal="right"/>
    </xf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160021</xdr:colOff>
      <xdr:row>2</xdr:row>
      <xdr:rowOff>53340</xdr:rowOff>
    </xdr:from>
    <xdr:to>
      <xdr:col>8</xdr:col>
      <xdr:colOff>944881</xdr:colOff>
      <xdr:row>5</xdr:row>
      <xdr:rowOff>129540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28" t="34487" r="-690" b="36356"/>
        <a:stretch/>
      </xdr:blipFill>
      <xdr:spPr>
        <a:xfrm>
          <a:off x="3528282" y="804297"/>
          <a:ext cx="2121121" cy="639417"/>
        </a:xfrm>
        <a:prstGeom prst="rect">
          <a:avLst/>
        </a:prstGeom>
      </xdr:spPr>
    </xdr:pic>
    <xdr:clientData/>
  </xdr:twoCellAnchor>
  <xdr:twoCellAnchor>
    <xdr:from>
      <xdr:col>12</xdr:col>
      <xdr:colOff>44174</xdr:colOff>
      <xdr:row>14</xdr:row>
      <xdr:rowOff>11042</xdr:rowOff>
    </xdr:from>
    <xdr:to>
      <xdr:col>16</xdr:col>
      <xdr:colOff>99391</xdr:colOff>
      <xdr:row>18</xdr:row>
      <xdr:rowOff>94862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608957" y="3014868"/>
          <a:ext cx="2484782" cy="834777"/>
          <a:chOff x="7728257" y="2988390"/>
          <a:chExt cx="2208572" cy="81954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7728257" y="2988390"/>
                <a:ext cx="2208572" cy="81954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Save as .xlsx</a:t>
                </a:r>
              </a:p>
            </xdr:txBody>
          </xdr:sp>
        </mc:Choice>
        <mc:Fallback/>
      </mc:AlternateContent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78877" y="3156888"/>
            <a:ext cx="540000" cy="540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33130</xdr:colOff>
      <xdr:row>21</xdr:row>
      <xdr:rowOff>76200</xdr:rowOff>
    </xdr:from>
    <xdr:to>
      <xdr:col>16</xdr:col>
      <xdr:colOff>121478</xdr:colOff>
      <xdr:row>25</xdr:row>
      <xdr:rowOff>121478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7597913" y="4394200"/>
          <a:ext cx="2517913" cy="796235"/>
          <a:chOff x="7564783" y="4394200"/>
          <a:chExt cx="2210794" cy="74333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564783" y="4394200"/>
                <a:ext cx="2210794" cy="7433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Save as .pdf</a:t>
                </a:r>
              </a:p>
            </xdr:txBody>
          </xdr:sp>
        </mc:Choice>
        <mc:Fallback/>
      </mc:AlternateContent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55652" y="4527825"/>
            <a:ext cx="563218" cy="5632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45720</xdr:colOff>
      <xdr:row>1</xdr:row>
      <xdr:rowOff>144780</xdr:rowOff>
    </xdr:from>
    <xdr:to>
      <xdr:col>16</xdr:col>
      <xdr:colOff>55217</xdr:colOff>
      <xdr:row>6</xdr:row>
      <xdr:rowOff>22860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CD17AF0-EF98-4DE6-3A98-5EA2F3576100}"/>
            </a:ext>
          </a:extLst>
        </xdr:cNvPr>
        <xdr:cNvGrpSpPr/>
      </xdr:nvGrpSpPr>
      <xdr:grpSpPr>
        <a:xfrm>
          <a:off x="7610503" y="707997"/>
          <a:ext cx="2439062" cy="816776"/>
          <a:chOff x="7610503" y="707997"/>
          <a:chExt cx="2241274" cy="81677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7610503" y="707997"/>
                <a:ext cx="2241274" cy="8167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Add a record</a:t>
                </a:r>
              </a:p>
            </xdr:txBody>
          </xdr:sp>
        </mc:Choice>
        <mc:Fallback/>
      </mc:AlternateContent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E9829144-FEC9-1DBE-65D2-7B930F097D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32348" y="927652"/>
            <a:ext cx="397566" cy="397566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44174</xdr:colOff>
      <xdr:row>7</xdr:row>
      <xdr:rowOff>144780</xdr:rowOff>
    </xdr:from>
    <xdr:to>
      <xdr:col>16</xdr:col>
      <xdr:colOff>77304</xdr:colOff>
      <xdr:row>12</xdr:row>
      <xdr:rowOff>22860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D974481A-DA67-72D8-80CB-37A17CF74E0D}"/>
            </a:ext>
          </a:extLst>
        </xdr:cNvPr>
        <xdr:cNvGrpSpPr/>
      </xdr:nvGrpSpPr>
      <xdr:grpSpPr>
        <a:xfrm>
          <a:off x="7608957" y="1834432"/>
          <a:ext cx="2462695" cy="816776"/>
          <a:chOff x="7671463" y="1834432"/>
          <a:chExt cx="2345745" cy="81677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7671463" y="1834432"/>
                <a:ext cx="2345745" cy="8167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Create New Invoice</a:t>
                </a:r>
              </a:p>
            </xdr:txBody>
          </xdr:sp>
        </mc:Choice>
        <mc:Fallback/>
      </mc:AlternateContent>
      <xdr:pic>
        <xdr:nvPicPr>
          <xdr:cNvPr id="21" name="Graphic 20" descr="Document with solid fill">
            <a:extLst>
              <a:ext uri="{FF2B5EF4-FFF2-40B4-BE49-F238E27FC236}">
                <a16:creationId xmlns:a16="http://schemas.microsoft.com/office/drawing/2014/main" id="{2DAE407E-41C2-7F9E-9F16-801407F9D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9298609" y="2043043"/>
            <a:ext cx="468000" cy="468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33130</xdr:colOff>
      <xdr:row>27</xdr:row>
      <xdr:rowOff>144780</xdr:rowOff>
    </xdr:from>
    <xdr:to>
      <xdr:col>16</xdr:col>
      <xdr:colOff>154609</xdr:colOff>
      <xdr:row>31</xdr:row>
      <xdr:rowOff>175260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831A4117-987A-A742-716A-A0CAADD56ADD}"/>
            </a:ext>
          </a:extLst>
        </xdr:cNvPr>
        <xdr:cNvGrpSpPr/>
      </xdr:nvGrpSpPr>
      <xdr:grpSpPr>
        <a:xfrm>
          <a:off x="7597913" y="5589215"/>
          <a:ext cx="2551044" cy="781436"/>
          <a:chOff x="7717183" y="5589215"/>
          <a:chExt cx="2505765" cy="78143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7717183" y="5589215"/>
                <a:ext cx="2505765" cy="7814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Email As PDF</a:t>
                </a:r>
              </a:p>
            </xdr:txBody>
          </xdr:sp>
        </mc:Choice>
        <mc:Fallback/>
      </mc:AlternateContent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BDB4BB5B-D38E-6AB9-499C-3FB672D13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3217" y="5764696"/>
            <a:ext cx="468000" cy="46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73652E-1300-4100-A535-12436E081326}" name="Cust_List" displayName="Cust_List" ref="A1:G8" totalsRowShown="0">
  <autoFilter ref="A1:G8" xr:uid="{4773652E-1300-4100-A535-12436E081326}"/>
  <tableColumns count="7">
    <tableColumn id="1" xr3:uid="{72D1954A-7B73-4DA7-A6BA-EFFD4CDF9832}" name="Customer Name"/>
    <tableColumn id="2" xr3:uid="{800C7A09-4FEE-479D-BF31-B1ACDFEA0BA5}" name="Address 1"/>
    <tableColumn id="3" xr3:uid="{5EB1B462-AF3C-4C5E-B88C-DE6DC568A00C}" name="Address 2"/>
    <tableColumn id="4" xr3:uid="{B67BAF30-9D5B-4DCB-922C-449FBA12BF34}" name="Address 3"/>
    <tableColumn id="5" xr3:uid="{C4A08B98-1D07-442E-87F2-0BBD78738723}" name="Address 4"/>
    <tableColumn id="6" xr3:uid="{ED9C79A8-EE50-4557-842C-0C1B4A4CDF5A}" name="Address 5"/>
    <tableColumn id="7" xr3:uid="{A007FF5D-CDE4-424F-886C-D31C11CA8D46}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mazon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vaishnavipotturi30@gmail.com" TargetMode="External"/><Relationship Id="rId1" Type="http://schemas.openxmlformats.org/officeDocument/2006/relationships/hyperlink" Target="mailto:vivekpaturi3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Pp/2%20-%20Vaishnavi%20Potturi.pdf" TargetMode="External"/><Relationship Id="rId2" Type="http://schemas.openxmlformats.org/officeDocument/2006/relationships/hyperlink" Target="Pp/2-Vaishnavi%20Potturi.xlsx" TargetMode="External"/><Relationship Id="rId1" Type="http://schemas.openxmlformats.org/officeDocument/2006/relationships/hyperlink" Target="Pp/1-Vivek%20Paturi.xlsx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Pp/2%20-%20Vaishnavi%20Potturi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1B069-63A6-4D85-B204-6318145C520F}">
  <sheetPr codeName="Sheet1"/>
  <dimension ref="A1:J47"/>
  <sheetViews>
    <sheetView showGridLines="0" zoomScale="69" zoomScaleNormal="70" workbookViewId="0">
      <selection activeCell="N41" sqref="N41"/>
    </sheetView>
  </sheetViews>
  <sheetFormatPr defaultRowHeight="14.4" x14ac:dyDescent="0.3"/>
  <cols>
    <col min="1" max="1" width="3.109375" customWidth="1"/>
    <col min="2" max="2" width="13.21875" customWidth="1"/>
    <col min="5" max="5" width="10.6640625" customWidth="1"/>
    <col min="6" max="6" width="4.5546875" customWidth="1"/>
    <col min="7" max="7" width="10.33203125" customWidth="1"/>
    <col min="8" max="8" width="9.109375" customWidth="1"/>
    <col min="9" max="9" width="15.109375" customWidth="1"/>
  </cols>
  <sheetData>
    <row r="1" spans="1:10" ht="44.4" thickBot="1" x14ac:dyDescent="1.1000000000000001">
      <c r="A1" s="37" t="s">
        <v>0</v>
      </c>
      <c r="B1" s="37"/>
      <c r="C1" s="37"/>
      <c r="D1" s="37"/>
      <c r="E1" s="37"/>
      <c r="F1" s="37"/>
      <c r="G1" s="1"/>
      <c r="H1" s="38" t="s">
        <v>1</v>
      </c>
      <c r="I1" s="38"/>
      <c r="J1" s="38"/>
    </row>
    <row r="2" spans="1:10" ht="15" thickBot="1" x14ac:dyDescent="0.35"/>
    <row r="3" spans="1:10" x14ac:dyDescent="0.3">
      <c r="B3" s="4" t="s">
        <v>2</v>
      </c>
      <c r="C3" s="66">
        <v>10345</v>
      </c>
      <c r="D3" s="67"/>
    </row>
    <row r="4" spans="1:10" x14ac:dyDescent="0.3">
      <c r="B4" s="5" t="s">
        <v>3</v>
      </c>
      <c r="C4" s="68">
        <v>234</v>
      </c>
      <c r="D4" s="69"/>
      <c r="H4" t="s">
        <v>25</v>
      </c>
    </row>
    <row r="5" spans="1:10" x14ac:dyDescent="0.3">
      <c r="B5" s="5" t="s">
        <v>4</v>
      </c>
      <c r="C5" s="70">
        <v>45274</v>
      </c>
      <c r="D5" s="69"/>
    </row>
    <row r="6" spans="1:10" ht="15" thickBot="1" x14ac:dyDescent="0.35">
      <c r="B6" s="6" t="s">
        <v>5</v>
      </c>
      <c r="C6" s="71">
        <v>30</v>
      </c>
      <c r="D6" s="72"/>
    </row>
    <row r="8" spans="1:10" ht="15" thickBot="1" x14ac:dyDescent="0.35">
      <c r="B8" s="7" t="s">
        <v>6</v>
      </c>
      <c r="C8" s="8"/>
      <c r="D8" s="8"/>
    </row>
    <row r="9" spans="1:10" x14ac:dyDescent="0.3">
      <c r="B9" s="9"/>
      <c r="C9" s="10"/>
      <c r="D9" s="11"/>
    </row>
    <row r="10" spans="1:10" x14ac:dyDescent="0.3">
      <c r="B10" s="12" t="s">
        <v>35</v>
      </c>
      <c r="C10" s="54"/>
      <c r="D10" s="13"/>
    </row>
    <row r="11" spans="1:10" x14ac:dyDescent="0.3">
      <c r="B11" s="60" t="str">
        <f>_xlfn.IFNA(VLOOKUP($B$10,Cust_List[],2,0),"")</f>
        <v>Tanuku</v>
      </c>
      <c r="C11" s="54"/>
      <c r="D11" s="13"/>
    </row>
    <row r="12" spans="1:10" x14ac:dyDescent="0.3">
      <c r="B12" s="60" t="str">
        <f>_xlfn.IFNA(VLOOKUP($B$10,Cust_List[],3,0),"")</f>
        <v>33/6</v>
      </c>
      <c r="C12" s="54"/>
      <c r="D12" s="13"/>
    </row>
    <row r="13" spans="1:10" x14ac:dyDescent="0.3">
      <c r="B13" s="60" t="str">
        <f>_xlfn.IFNA(VLOOKUP($B$10,Cust_List[],4,0),"")</f>
        <v>road</v>
      </c>
      <c r="C13" s="54"/>
      <c r="D13" s="13"/>
    </row>
    <row r="14" spans="1:10" x14ac:dyDescent="0.3">
      <c r="B14" s="60" t="str">
        <f>_xlfn.IFNA(VLOOKUP($B$10,Cust_List[],5,0),"")</f>
        <v>near attili</v>
      </c>
      <c r="C14" s="54"/>
      <c r="D14" s="13"/>
    </row>
    <row r="15" spans="1:10" x14ac:dyDescent="0.3">
      <c r="B15" s="60">
        <f>_xlfn.IFNA(VLOOKUP($B$10,Cust_List[],6,0),"")</f>
        <v>534002</v>
      </c>
      <c r="C15" s="54"/>
      <c r="D15" s="13"/>
    </row>
    <row r="16" spans="1:10" x14ac:dyDescent="0.3">
      <c r="B16" s="55" t="str">
        <f>_xlfn.IFNA(VLOOKUP($B$10,Cust_List[],7,0),"")</f>
        <v>vaishnavipotturi30@gmail.com</v>
      </c>
      <c r="C16" s="15"/>
      <c r="D16" s="16"/>
    </row>
    <row r="18" spans="2:9" x14ac:dyDescent="0.3">
      <c r="B18" s="51" t="s">
        <v>7</v>
      </c>
      <c r="C18" s="52"/>
      <c r="D18" s="52"/>
      <c r="E18" s="53"/>
      <c r="F18" s="17" t="s">
        <v>11</v>
      </c>
      <c r="G18" s="17" t="s">
        <v>8</v>
      </c>
      <c r="H18" s="17" t="s">
        <v>10</v>
      </c>
      <c r="I18" s="18" t="s">
        <v>12</v>
      </c>
    </row>
    <row r="19" spans="2:9" x14ac:dyDescent="0.3">
      <c r="B19" s="39" t="s">
        <v>56</v>
      </c>
      <c r="C19" s="40"/>
      <c r="D19" s="40"/>
      <c r="E19" s="41"/>
      <c r="F19" s="25">
        <v>6</v>
      </c>
      <c r="G19" s="27">
        <v>400</v>
      </c>
      <c r="H19" s="27">
        <f>IF(F19&lt;&gt;"",G19*20%,"")</f>
        <v>80</v>
      </c>
      <c r="I19" s="29">
        <f>IF(F19&lt;&gt;"",F19*G19,"")</f>
        <v>2400</v>
      </c>
    </row>
    <row r="20" spans="2:9" x14ac:dyDescent="0.3">
      <c r="B20" s="39" t="s">
        <v>57</v>
      </c>
      <c r="C20" s="40"/>
      <c r="D20" s="40"/>
      <c r="E20" s="41"/>
      <c r="F20" s="25">
        <v>1</v>
      </c>
      <c r="G20" s="27">
        <v>500</v>
      </c>
      <c r="H20" s="27">
        <f t="shared" ref="H20:H34" si="0">IF(F20&lt;&gt;"",G20*20%,"")</f>
        <v>100</v>
      </c>
      <c r="I20" s="29">
        <f t="shared" ref="I20:I35" si="1">IF(F20&lt;&gt;"",F20*G20,"")</f>
        <v>500</v>
      </c>
    </row>
    <row r="21" spans="2:9" x14ac:dyDescent="0.3">
      <c r="B21" s="39" t="s">
        <v>58</v>
      </c>
      <c r="C21" s="40"/>
      <c r="D21" s="40"/>
      <c r="E21" s="41"/>
      <c r="F21" s="25">
        <v>2</v>
      </c>
      <c r="G21" s="27">
        <v>25</v>
      </c>
      <c r="H21" s="27">
        <f t="shared" si="0"/>
        <v>5</v>
      </c>
      <c r="I21" s="29">
        <f t="shared" si="1"/>
        <v>50</v>
      </c>
    </row>
    <row r="22" spans="2:9" x14ac:dyDescent="0.3">
      <c r="B22" s="39" t="s">
        <v>59</v>
      </c>
      <c r="C22" s="40"/>
      <c r="D22" s="40"/>
      <c r="E22" s="41"/>
      <c r="F22" s="25">
        <v>3</v>
      </c>
      <c r="G22" s="27">
        <v>20</v>
      </c>
      <c r="H22" s="27">
        <f t="shared" si="0"/>
        <v>4</v>
      </c>
      <c r="I22" s="29">
        <f t="shared" si="1"/>
        <v>60</v>
      </c>
    </row>
    <row r="23" spans="2:9" x14ac:dyDescent="0.3">
      <c r="B23" s="39" t="s">
        <v>60</v>
      </c>
      <c r="C23" s="40"/>
      <c r="D23" s="40"/>
      <c r="E23" s="41"/>
      <c r="F23" s="25">
        <v>10</v>
      </c>
      <c r="G23" s="27">
        <v>2</v>
      </c>
      <c r="H23" s="27">
        <f t="shared" si="0"/>
        <v>0.4</v>
      </c>
      <c r="I23" s="29">
        <f t="shared" si="1"/>
        <v>20</v>
      </c>
    </row>
    <row r="24" spans="2:9" x14ac:dyDescent="0.3">
      <c r="B24" s="39" t="s">
        <v>61</v>
      </c>
      <c r="C24" s="40"/>
      <c r="D24" s="40"/>
      <c r="E24" s="41"/>
      <c r="F24" s="25">
        <v>2</v>
      </c>
      <c r="G24" s="27">
        <v>100</v>
      </c>
      <c r="H24" s="27">
        <f t="shared" si="0"/>
        <v>20</v>
      </c>
      <c r="I24" s="29">
        <f t="shared" si="1"/>
        <v>200</v>
      </c>
    </row>
    <row r="25" spans="2:9" x14ac:dyDescent="0.3">
      <c r="B25" s="39" t="s">
        <v>62</v>
      </c>
      <c r="C25" s="40"/>
      <c r="D25" s="40"/>
      <c r="E25" s="41"/>
      <c r="F25" s="25">
        <v>25</v>
      </c>
      <c r="G25" s="27">
        <v>2</v>
      </c>
      <c r="H25" s="27">
        <f t="shared" si="0"/>
        <v>0.4</v>
      </c>
      <c r="I25" s="29">
        <f t="shared" si="1"/>
        <v>50</v>
      </c>
    </row>
    <row r="26" spans="2:9" x14ac:dyDescent="0.3">
      <c r="B26" s="39" t="s">
        <v>63</v>
      </c>
      <c r="C26" s="40"/>
      <c r="D26" s="40"/>
      <c r="E26" s="41"/>
      <c r="F26" s="25">
        <v>1</v>
      </c>
      <c r="G26" s="27">
        <v>100</v>
      </c>
      <c r="H26" s="27">
        <f t="shared" si="0"/>
        <v>20</v>
      </c>
      <c r="I26" s="29">
        <f t="shared" si="1"/>
        <v>100</v>
      </c>
    </row>
    <row r="27" spans="2:9" x14ac:dyDescent="0.3">
      <c r="B27" s="39" t="s">
        <v>64</v>
      </c>
      <c r="C27" s="40"/>
      <c r="D27" s="40"/>
      <c r="E27" s="41"/>
      <c r="F27" s="25">
        <v>2</v>
      </c>
      <c r="G27" s="27">
        <v>100</v>
      </c>
      <c r="H27" s="27">
        <f t="shared" si="0"/>
        <v>20</v>
      </c>
      <c r="I27" s="29">
        <f t="shared" si="1"/>
        <v>200</v>
      </c>
    </row>
    <row r="28" spans="2:9" x14ac:dyDescent="0.3">
      <c r="B28" s="39" t="s">
        <v>65</v>
      </c>
      <c r="C28" s="40"/>
      <c r="D28" s="40"/>
      <c r="E28" s="41"/>
      <c r="F28" s="25">
        <v>1</v>
      </c>
      <c r="G28" s="27">
        <v>150</v>
      </c>
      <c r="H28" s="27">
        <f t="shared" si="0"/>
        <v>30</v>
      </c>
      <c r="I28" s="29">
        <f t="shared" si="1"/>
        <v>150</v>
      </c>
    </row>
    <row r="29" spans="2:9" x14ac:dyDescent="0.3">
      <c r="B29" s="39" t="s">
        <v>53</v>
      </c>
      <c r="C29" s="40"/>
      <c r="D29" s="40"/>
      <c r="E29" s="41"/>
      <c r="F29" s="25">
        <v>5</v>
      </c>
      <c r="G29" s="27">
        <v>25</v>
      </c>
      <c r="H29" s="27">
        <f t="shared" si="0"/>
        <v>5</v>
      </c>
      <c r="I29" s="29">
        <f t="shared" si="1"/>
        <v>125</v>
      </c>
    </row>
    <row r="30" spans="2:9" x14ac:dyDescent="0.3">
      <c r="B30" s="39" t="s">
        <v>66</v>
      </c>
      <c r="C30" s="40"/>
      <c r="D30" s="40"/>
      <c r="E30" s="41"/>
      <c r="F30" s="25">
        <v>10</v>
      </c>
      <c r="G30" s="27">
        <v>6</v>
      </c>
      <c r="H30" s="27">
        <f t="shared" si="0"/>
        <v>1.2000000000000002</v>
      </c>
      <c r="I30" s="29">
        <f t="shared" si="1"/>
        <v>60</v>
      </c>
    </row>
    <row r="31" spans="2:9" x14ac:dyDescent="0.3">
      <c r="B31" s="39" t="s">
        <v>67</v>
      </c>
      <c r="C31" s="40"/>
      <c r="D31" s="40"/>
      <c r="E31" s="41"/>
      <c r="F31" s="25">
        <v>10</v>
      </c>
      <c r="G31" s="27">
        <v>5</v>
      </c>
      <c r="H31" s="27">
        <f t="shared" si="0"/>
        <v>1</v>
      </c>
      <c r="I31" s="29">
        <f t="shared" si="1"/>
        <v>50</v>
      </c>
    </row>
    <row r="32" spans="2:9" x14ac:dyDescent="0.3">
      <c r="B32" s="39" t="s">
        <v>68</v>
      </c>
      <c r="C32" s="40"/>
      <c r="D32" s="40"/>
      <c r="E32" s="41"/>
      <c r="F32" s="25">
        <v>1</v>
      </c>
      <c r="G32" s="27">
        <v>399</v>
      </c>
      <c r="H32" s="27">
        <f t="shared" si="0"/>
        <v>79.800000000000011</v>
      </c>
      <c r="I32" s="29">
        <f t="shared" si="1"/>
        <v>399</v>
      </c>
    </row>
    <row r="33" spans="2:9" x14ac:dyDescent="0.3">
      <c r="B33" s="39" t="s">
        <v>69</v>
      </c>
      <c r="C33" s="40"/>
      <c r="D33" s="40"/>
      <c r="E33" s="41"/>
      <c r="F33" s="25">
        <v>1</v>
      </c>
      <c r="G33" s="27">
        <v>99</v>
      </c>
      <c r="H33" s="27">
        <f t="shared" si="0"/>
        <v>19.8</v>
      </c>
      <c r="I33" s="29">
        <f t="shared" si="1"/>
        <v>99</v>
      </c>
    </row>
    <row r="34" spans="2:9" x14ac:dyDescent="0.3">
      <c r="B34" s="39" t="s">
        <v>70</v>
      </c>
      <c r="C34" s="40"/>
      <c r="D34" s="40"/>
      <c r="E34" s="41"/>
      <c r="F34" s="25">
        <v>2</v>
      </c>
      <c r="G34" s="27">
        <v>50</v>
      </c>
      <c r="H34" s="27">
        <f t="shared" si="0"/>
        <v>10</v>
      </c>
      <c r="I34" s="29">
        <f t="shared" si="1"/>
        <v>100</v>
      </c>
    </row>
    <row r="35" spans="2:9" x14ac:dyDescent="0.3">
      <c r="B35" s="42" t="s">
        <v>71</v>
      </c>
      <c r="C35" s="43"/>
      <c r="D35" s="43"/>
      <c r="E35" s="44"/>
      <c r="F35" s="26">
        <v>3</v>
      </c>
      <c r="G35" s="28">
        <v>150</v>
      </c>
      <c r="H35" s="28">
        <f>IF(F35&lt;&gt;"",G35*20%,"")</f>
        <v>30</v>
      </c>
      <c r="I35" s="30">
        <f t="shared" si="1"/>
        <v>450</v>
      </c>
    </row>
    <row r="37" spans="2:9" ht="15" thickBot="1" x14ac:dyDescent="0.35">
      <c r="B37" s="45" t="s">
        <v>13</v>
      </c>
      <c r="C37" s="45"/>
      <c r="D37" s="45"/>
      <c r="E37" s="45"/>
    </row>
    <row r="38" spans="2:9" x14ac:dyDescent="0.3">
      <c r="B38" s="9"/>
      <c r="C38" s="10"/>
      <c r="D38" s="10"/>
      <c r="E38" s="11"/>
      <c r="G38" s="22"/>
      <c r="H38" s="22"/>
      <c r="I38" s="22"/>
    </row>
    <row r="39" spans="2:9" x14ac:dyDescent="0.3">
      <c r="B39" s="12"/>
      <c r="E39" s="13"/>
      <c r="G39" s="2" t="s">
        <v>14</v>
      </c>
      <c r="H39" s="2"/>
      <c r="I39" s="31">
        <f>SUM(I19:I35)</f>
        <v>5013</v>
      </c>
    </row>
    <row r="40" spans="2:9" x14ac:dyDescent="0.3">
      <c r="B40" s="12"/>
      <c r="E40" s="13"/>
      <c r="G40" s="2" t="s">
        <v>10</v>
      </c>
      <c r="H40" s="2"/>
      <c r="I40" s="31">
        <f>SUM(H19:H35)</f>
        <v>426.6</v>
      </c>
    </row>
    <row r="41" spans="2:9" ht="15" thickBot="1" x14ac:dyDescent="0.35">
      <c r="B41" s="14"/>
      <c r="C41" s="15"/>
      <c r="D41" s="15"/>
      <c r="E41" s="16"/>
      <c r="G41" s="23" t="s">
        <v>9</v>
      </c>
      <c r="H41" s="23"/>
      <c r="I41" s="32">
        <f>I39+I40</f>
        <v>5439.6</v>
      </c>
    </row>
    <row r="42" spans="2:9" ht="15" thickTop="1" x14ac:dyDescent="0.3"/>
    <row r="43" spans="2:9" x14ac:dyDescent="0.3">
      <c r="B43" s="46" t="s">
        <v>15</v>
      </c>
      <c r="C43" s="47"/>
      <c r="D43" s="47"/>
      <c r="E43" s="47"/>
      <c r="F43" s="48"/>
      <c r="G43" s="49" t="s">
        <v>16</v>
      </c>
      <c r="H43" s="47"/>
      <c r="I43" s="50"/>
    </row>
    <row r="44" spans="2:9" x14ac:dyDescent="0.3">
      <c r="B44" s="19" t="s">
        <v>17</v>
      </c>
      <c r="C44" s="56" t="s">
        <v>72</v>
      </c>
      <c r="D44" s="61"/>
      <c r="E44" s="61"/>
      <c r="F44" s="62"/>
      <c r="G44" s="3" t="s">
        <v>21</v>
      </c>
      <c r="H44" s="56">
        <v>777428</v>
      </c>
      <c r="I44" s="57"/>
    </row>
    <row r="45" spans="2:9" x14ac:dyDescent="0.3">
      <c r="B45" s="19" t="s">
        <v>18</v>
      </c>
      <c r="C45" s="56">
        <v>18</v>
      </c>
      <c r="D45" s="61"/>
      <c r="E45" s="61"/>
      <c r="F45" s="62"/>
      <c r="G45" s="3" t="s">
        <v>22</v>
      </c>
      <c r="H45" s="56" t="s">
        <v>75</v>
      </c>
      <c r="I45" s="57"/>
    </row>
    <row r="46" spans="2:9" x14ac:dyDescent="0.3">
      <c r="B46" s="19" t="s">
        <v>19</v>
      </c>
      <c r="C46" s="56" t="s">
        <v>73</v>
      </c>
      <c r="D46" s="61"/>
      <c r="E46" s="61"/>
      <c r="F46" s="62"/>
      <c r="G46" s="3" t="s">
        <v>23</v>
      </c>
      <c r="H46" s="56">
        <v>524102</v>
      </c>
      <c r="I46" s="57"/>
    </row>
    <row r="47" spans="2:9" x14ac:dyDescent="0.3">
      <c r="B47" s="20" t="s">
        <v>20</v>
      </c>
      <c r="C47" s="63" t="s">
        <v>74</v>
      </c>
      <c r="D47" s="64"/>
      <c r="E47" s="64"/>
      <c r="F47" s="65"/>
      <c r="G47" s="21" t="s">
        <v>24</v>
      </c>
      <c r="H47" s="58" t="s">
        <v>76</v>
      </c>
      <c r="I47" s="59"/>
    </row>
  </sheetData>
  <mergeCells count="35">
    <mergeCell ref="B18:E18"/>
    <mergeCell ref="C47:F47"/>
    <mergeCell ref="H44:I44"/>
    <mergeCell ref="H45:I45"/>
    <mergeCell ref="H46:I46"/>
    <mergeCell ref="H47:I47"/>
    <mergeCell ref="C46:F46"/>
    <mergeCell ref="B37:E37"/>
    <mergeCell ref="B43:F43"/>
    <mergeCell ref="G43:I43"/>
    <mergeCell ref="C44:F44"/>
    <mergeCell ref="C45:F45"/>
    <mergeCell ref="B35:E35"/>
    <mergeCell ref="B24:E24"/>
    <mergeCell ref="B25:E25"/>
    <mergeCell ref="B26:E26"/>
    <mergeCell ref="B27:E27"/>
    <mergeCell ref="B28:E28"/>
    <mergeCell ref="B29:E29"/>
    <mergeCell ref="B30:E30"/>
    <mergeCell ref="B31:E31"/>
    <mergeCell ref="B32:E32"/>
    <mergeCell ref="B33:E33"/>
    <mergeCell ref="B34:E34"/>
    <mergeCell ref="B19:E19"/>
    <mergeCell ref="B20:E20"/>
    <mergeCell ref="B21:E21"/>
    <mergeCell ref="B22:E22"/>
    <mergeCell ref="B23:E23"/>
    <mergeCell ref="C6:D6"/>
    <mergeCell ref="A1:F1"/>
    <mergeCell ref="H1:J1"/>
    <mergeCell ref="C3:D3"/>
    <mergeCell ref="C4:D4"/>
    <mergeCell ref="C5:D5"/>
  </mergeCells>
  <dataValidations count="2">
    <dataValidation type="list" allowBlank="1" showInputMessage="1" showErrorMessage="1" sqref="C6:D6" xr:uid="{698F618F-5C02-4B69-A347-0CD01754DCBD}">
      <formula1>"30,60,90"</formula1>
    </dataValidation>
    <dataValidation type="list" allowBlank="1" showInputMessage="1" showErrorMessage="1" sqref="B10" xr:uid="{E2A1E9C8-B80A-4F07-AD1E-30D263B9950C}">
      <formula1>Cust_down</formula1>
    </dataValidation>
  </dataValidations>
  <hyperlinks>
    <hyperlink ref="C47" r:id="rId1" xr:uid="{D34BB6E2-6CC1-48AE-8A5E-FB3AA8E2C408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AsExcel">
                <anchor moveWithCells="1" sizeWithCells="1">
                  <from>
                    <xdr:col>12</xdr:col>
                    <xdr:colOff>45720</xdr:colOff>
                    <xdr:row>14</xdr:row>
                    <xdr:rowOff>7620</xdr:rowOff>
                  </from>
                  <to>
                    <xdr:col>16</xdr:col>
                    <xdr:colOff>99060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autoFill="0" autoPict="0" macro="[0]!SaveAsPdf">
                <anchor moveWithCells="1" sizeWithCells="1">
                  <from>
                    <xdr:col>12</xdr:col>
                    <xdr:colOff>30480</xdr:colOff>
                    <xdr:row>21</xdr:row>
                    <xdr:rowOff>76200</xdr:rowOff>
                  </from>
                  <to>
                    <xdr:col>16</xdr:col>
                    <xdr:colOff>121920</xdr:colOff>
                    <xdr:row>25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autoFill="0" autoPict="0" macro="[0]!RecordofInvoice">
                <anchor moveWithCells="1" sizeWithCells="1">
                  <from>
                    <xdr:col>12</xdr:col>
                    <xdr:colOff>45720</xdr:colOff>
                    <xdr:row>1</xdr:row>
                    <xdr:rowOff>144780</xdr:rowOff>
                  </from>
                  <to>
                    <xdr:col>16</xdr:col>
                    <xdr:colOff>53340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autoFill="0" autoPict="0" macro="[0]!CreateNewInvoice">
                <anchor moveWithCells="1" sizeWithCells="1">
                  <from>
                    <xdr:col>12</xdr:col>
                    <xdr:colOff>45720</xdr:colOff>
                    <xdr:row>7</xdr:row>
                    <xdr:rowOff>144780</xdr:rowOff>
                  </from>
                  <to>
                    <xdr:col>16</xdr:col>
                    <xdr:colOff>76200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autoFill="0" autoPict="0" macro="[0]!EmailasPDF">
                <anchor moveWithCells="1" sizeWithCells="1">
                  <from>
                    <xdr:col>12</xdr:col>
                    <xdr:colOff>30480</xdr:colOff>
                    <xdr:row>27</xdr:row>
                    <xdr:rowOff>144780</xdr:rowOff>
                  </from>
                  <to>
                    <xdr:col>16</xdr:col>
                    <xdr:colOff>152400</xdr:colOff>
                    <xdr:row>31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3C3E-C530-4BF9-87A5-AE5A52260383}">
  <sheetPr codeName="Sheet2"/>
  <dimension ref="A1:G8"/>
  <sheetViews>
    <sheetView workbookViewId="0">
      <selection activeCell="I1" sqref="I1"/>
    </sheetView>
  </sheetViews>
  <sheetFormatPr defaultRowHeight="14.4" x14ac:dyDescent="0.3"/>
  <cols>
    <col min="1" max="1" width="16.44140625" customWidth="1"/>
    <col min="2" max="6" width="11" customWidth="1"/>
  </cols>
  <sheetData>
    <row r="1" spans="1: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20</v>
      </c>
    </row>
    <row r="2" spans="1:7" x14ac:dyDescent="0.3">
      <c r="A2" t="s">
        <v>32</v>
      </c>
      <c r="B2" t="s">
        <v>33</v>
      </c>
      <c r="C2" s="35" t="s">
        <v>48</v>
      </c>
      <c r="D2" t="s">
        <v>46</v>
      </c>
      <c r="E2" t="s">
        <v>47</v>
      </c>
      <c r="F2">
        <v>534341</v>
      </c>
      <c r="G2" s="24" t="s">
        <v>34</v>
      </c>
    </row>
    <row r="3" spans="1:7" x14ac:dyDescent="0.3">
      <c r="A3" t="s">
        <v>35</v>
      </c>
      <c r="B3" t="s">
        <v>36</v>
      </c>
      <c r="C3" t="s">
        <v>49</v>
      </c>
      <c r="D3" s="36" t="s">
        <v>50</v>
      </c>
      <c r="E3" t="s">
        <v>51</v>
      </c>
      <c r="F3">
        <v>534002</v>
      </c>
      <c r="G3" s="24" t="s">
        <v>37</v>
      </c>
    </row>
    <row r="4" spans="1:7" x14ac:dyDescent="0.3">
      <c r="G4" s="24"/>
    </row>
    <row r="5" spans="1:7" x14ac:dyDescent="0.3">
      <c r="G5" s="24"/>
    </row>
    <row r="6" spans="1:7" x14ac:dyDescent="0.3">
      <c r="G6" s="24"/>
    </row>
    <row r="7" spans="1:7" x14ac:dyDescent="0.3">
      <c r="G7" s="24"/>
    </row>
    <row r="8" spans="1:7" x14ac:dyDescent="0.3">
      <c r="G8" s="24"/>
    </row>
  </sheetData>
  <dataValidations count="1">
    <dataValidation type="list" allowBlank="1" showInputMessage="1" showErrorMessage="1" sqref="A2:A8" xr:uid="{D6D98E5C-51FB-4F7C-9A57-0C4ED548A76F}">
      <formula1>Cust_down</formula1>
    </dataValidation>
  </dataValidations>
  <hyperlinks>
    <hyperlink ref="G2" r:id="rId1" xr:uid="{3D459CB9-E776-4322-ACBC-E923E173D703}"/>
    <hyperlink ref="G3" r:id="rId2" xr:uid="{4E9243B7-0E5B-44CF-897D-146238E6BFEA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7BE85-EEDF-417F-9AE6-751286F3D02F}">
  <sheetPr codeName="Sheet3"/>
  <dimension ref="A1:I17"/>
  <sheetViews>
    <sheetView tabSelected="1" workbookViewId="0">
      <selection activeCell="G14" sqref="G14"/>
    </sheetView>
  </sheetViews>
  <sheetFormatPr defaultRowHeight="14.4" x14ac:dyDescent="0.3"/>
  <cols>
    <col min="1" max="1" width="10.33203125" bestFit="1" customWidth="1"/>
    <col min="2" max="2" width="14.77734375" bestFit="1" customWidth="1"/>
    <col min="3" max="3" width="8.109375" bestFit="1" customWidth="1"/>
    <col min="4" max="5" width="10.33203125" bestFit="1" customWidth="1"/>
    <col min="6" max="6" width="4.44140625" bestFit="1" customWidth="1"/>
    <col min="7" max="7" width="52.77734375" bestFit="1" customWidth="1"/>
    <col min="8" max="8" width="52.21875" bestFit="1" customWidth="1"/>
    <col min="9" max="9" width="13.88671875" bestFit="1" customWidth="1"/>
  </cols>
  <sheetData>
    <row r="1" spans="1:9" x14ac:dyDescent="0.3">
      <c r="A1" s="33" t="s">
        <v>2</v>
      </c>
      <c r="B1" s="33" t="s">
        <v>38</v>
      </c>
      <c r="C1" s="33" t="s">
        <v>39</v>
      </c>
      <c r="D1" s="33" t="s">
        <v>40</v>
      </c>
      <c r="E1" s="33" t="s">
        <v>41</v>
      </c>
      <c r="F1" s="33" t="s">
        <v>42</v>
      </c>
      <c r="G1" s="33" t="s">
        <v>43</v>
      </c>
      <c r="H1" s="33" t="s">
        <v>44</v>
      </c>
      <c r="I1" s="33" t="s">
        <v>45</v>
      </c>
    </row>
    <row r="2" spans="1:9" x14ac:dyDescent="0.3">
      <c r="A2">
        <v>1</v>
      </c>
      <c r="B2" t="s">
        <v>32</v>
      </c>
      <c r="C2" s="34">
        <v>120</v>
      </c>
      <c r="D2" s="35">
        <v>45274</v>
      </c>
      <c r="E2" s="35">
        <v>45304</v>
      </c>
      <c r="H2" s="24" t="s">
        <v>52</v>
      </c>
    </row>
    <row r="3" spans="1:9" x14ac:dyDescent="0.3">
      <c r="A3">
        <v>1</v>
      </c>
      <c r="B3" t="s">
        <v>32</v>
      </c>
      <c r="C3" s="34">
        <v>120</v>
      </c>
      <c r="D3" s="35">
        <v>45274</v>
      </c>
      <c r="E3" s="35">
        <v>45304</v>
      </c>
    </row>
    <row r="4" spans="1:9" x14ac:dyDescent="0.3">
      <c r="A4">
        <v>1</v>
      </c>
      <c r="B4" t="s">
        <v>32</v>
      </c>
      <c r="C4" s="34">
        <v>175</v>
      </c>
      <c r="D4" s="35">
        <v>45274</v>
      </c>
      <c r="E4" s="35">
        <v>45304</v>
      </c>
      <c r="H4" s="24"/>
    </row>
    <row r="5" spans="1:9" x14ac:dyDescent="0.3">
      <c r="A5">
        <v>2</v>
      </c>
      <c r="B5" t="s">
        <v>35</v>
      </c>
      <c r="C5" s="34">
        <v>32</v>
      </c>
      <c r="D5" s="35">
        <v>45274</v>
      </c>
      <c r="E5" s="35">
        <v>45304</v>
      </c>
      <c r="G5" s="24"/>
      <c r="H5" s="24" t="s">
        <v>54</v>
      </c>
    </row>
    <row r="6" spans="1:9" x14ac:dyDescent="0.3">
      <c r="A6">
        <v>2</v>
      </c>
      <c r="B6" t="s">
        <v>35</v>
      </c>
      <c r="C6" s="34">
        <v>32</v>
      </c>
      <c r="D6" s="35">
        <v>45274</v>
      </c>
      <c r="E6" s="35">
        <v>45304</v>
      </c>
      <c r="G6" s="24" t="s">
        <v>55</v>
      </c>
    </row>
    <row r="7" spans="1:9" x14ac:dyDescent="0.3">
      <c r="A7">
        <v>2</v>
      </c>
      <c r="B7" t="s">
        <v>35</v>
      </c>
      <c r="C7" s="34">
        <v>212</v>
      </c>
      <c r="D7" s="35">
        <v>45274</v>
      </c>
      <c r="E7" s="35">
        <v>45304</v>
      </c>
      <c r="G7" s="24" t="s">
        <v>55</v>
      </c>
      <c r="H7" s="24"/>
    </row>
    <row r="8" spans="1:9" x14ac:dyDescent="0.3">
      <c r="C8" s="34"/>
      <c r="D8" s="35"/>
      <c r="E8" s="35"/>
      <c r="G8" s="24"/>
    </row>
    <row r="9" spans="1:9" x14ac:dyDescent="0.3">
      <c r="C9" s="34"/>
      <c r="D9" s="35"/>
      <c r="E9" s="35"/>
      <c r="H9" s="24"/>
    </row>
    <row r="10" spans="1:9" x14ac:dyDescent="0.3">
      <c r="C10" s="34"/>
      <c r="D10" s="35"/>
      <c r="E10" s="35"/>
      <c r="H10" s="24"/>
    </row>
    <row r="11" spans="1:9" x14ac:dyDescent="0.3">
      <c r="C11" s="34"/>
      <c r="D11" s="35"/>
      <c r="E11" s="35"/>
      <c r="H11" s="24"/>
    </row>
    <row r="12" spans="1:9" x14ac:dyDescent="0.3">
      <c r="C12" s="34"/>
      <c r="D12" s="35"/>
      <c r="E12" s="35"/>
      <c r="H12" s="24"/>
    </row>
    <row r="13" spans="1:9" x14ac:dyDescent="0.3">
      <c r="C13" s="34"/>
      <c r="D13" s="35"/>
      <c r="E13" s="35"/>
      <c r="H13" s="24"/>
    </row>
    <row r="14" spans="1:9" x14ac:dyDescent="0.3">
      <c r="C14" s="34"/>
      <c r="D14" s="35"/>
      <c r="E14" s="35"/>
      <c r="H14" s="24"/>
    </row>
    <row r="15" spans="1:9" x14ac:dyDescent="0.3">
      <c r="C15" s="34"/>
      <c r="D15" s="35"/>
      <c r="E15" s="35"/>
      <c r="H15" s="24"/>
    </row>
    <row r="16" spans="1:9" x14ac:dyDescent="0.3">
      <c r="C16" s="34"/>
      <c r="D16" s="35"/>
      <c r="E16" s="35"/>
    </row>
    <row r="17" spans="3:5" x14ac:dyDescent="0.3">
      <c r="C17" s="34"/>
      <c r="D17" s="35"/>
      <c r="E17" s="35"/>
    </row>
  </sheetData>
  <conditionalFormatting sqref="A2:F1000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00" xr:uid="{6E3386AD-65CB-4EB3-AE02-8069DD0E635C}">
      <formula1>"Yes"</formula1>
    </dataValidation>
  </dataValidations>
  <hyperlinks>
    <hyperlink ref="H2" r:id="rId1" display="Pp/1-Vivek Paturi.xlsx" xr:uid="{98544457-490B-4C4C-8711-606A14EC333D}"/>
    <hyperlink ref="H5" r:id="rId2" display="Pp/2-Vaishnavi Potturi.xlsx" xr:uid="{BA8CE9D1-198E-4150-A4EF-8610DFE0D0E5}"/>
    <hyperlink ref="G6" r:id="rId3" display="Pp/2 - Vaishnavi Potturi.pdf" xr:uid="{825C4790-2A49-49DC-ABB1-669D94F6B2F8}"/>
    <hyperlink ref="G7" r:id="rId4" display="Pp/2 - Vaishnavi Potturi.pdf" xr:uid="{708DF746-0E7D-45B4-B29E-C2659FB39AE7}"/>
  </hyperlinks>
  <pageMargins left="0.7" right="0.7" top="0.75" bottom="0.75" header="0.3" footer="0.3"/>
  <pageSetup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CustomersC</vt:lpstr>
      <vt:lpstr>Record of Invoices</vt:lpstr>
      <vt:lpstr>Cust_down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PATURI VIVEK</dc:creator>
  <cp:lastModifiedBy>PATURI VIVEK</cp:lastModifiedBy>
  <cp:lastPrinted>2023-12-14T07:43:49Z</cp:lastPrinted>
  <dcterms:created xsi:type="dcterms:W3CDTF">2023-12-13T11:02:12Z</dcterms:created>
  <dcterms:modified xsi:type="dcterms:W3CDTF">2023-12-14T08:20:29Z</dcterms:modified>
</cp:coreProperties>
</file>